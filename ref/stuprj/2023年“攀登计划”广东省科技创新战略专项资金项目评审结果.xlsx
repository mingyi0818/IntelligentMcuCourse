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activeTab="2"/>
  </bookViews>
  <sheets>
    <sheet name="哲学社会科学类" sheetId="1" r:id="rId1"/>
    <sheet name="自然科学类" sheetId="2" r:id="rId2"/>
    <sheet name="科技发明制作类" sheetId="3" r:id="rId3"/>
  </sheets>
  <calcPr calcId="144525"/>
</workbook>
</file>

<file path=xl/sharedStrings.xml><?xml version="1.0" encoding="utf-8"?>
<sst xmlns="http://schemas.openxmlformats.org/spreadsheetml/2006/main" count="104">
  <si>
    <t>哲学社会科学类</t>
  </si>
  <si>
    <t>序号</t>
  </si>
  <si>
    <t>项目名</t>
  </si>
  <si>
    <t>平均分</t>
  </si>
  <si>
    <t>排名</t>
  </si>
  <si>
    <t>备注</t>
  </si>
  <si>
    <t xml:space="preserve">自媒体时代古村落遗产活化与文化乡村建设研究
——以梅州市大埔县为例 </t>
  </si>
  <si>
    <t>重点项目</t>
  </si>
  <si>
    <t>社会工作视角下儿童性启蒙服务体系建设研究</t>
  </si>
  <si>
    <t>一般项目</t>
  </si>
  <si>
    <t>社区居民自治摇篮——打造新时代社区营造模式</t>
  </si>
  <si>
    <t>发展型城市建设中大学生的的角色认知与发展建议—以梅州市为例的调查研究</t>
  </si>
  <si>
    <t>基于“双驱三化四建设”探索课程思政融入解剖教育，让医学变得更有温度</t>
  </si>
  <si>
    <t>候选项目</t>
  </si>
  <si>
    <t>梅州仲梦少儿戏剧培训项目</t>
  </si>
  <si>
    <t>基于ⅤR体验的梅州智慧旅游研究</t>
  </si>
  <si>
    <t>红色领航擦亮东岭底色，绿色扬帆续写蝶变新篇——乡村振兴背景下梅州市蕉岭县东岭村的发展路径研究</t>
  </si>
  <si>
    <t>智慧法律服务赋能乡村振兴战略调研</t>
  </si>
  <si>
    <t>“广东汉剧角色”的记录</t>
  </si>
  <si>
    <t>梅州足球文化新路径，乡村振兴赋能“小镇+”</t>
  </si>
  <si>
    <t>疫情防控常态化下抗疫精神融入大学生爱国主义教育研究——以广东高校大学生为例</t>
  </si>
  <si>
    <t>运用剧本杀 IP 人设方法论——打造梅州文旅创新扩散模式</t>
  </si>
  <si>
    <t>拒做疫情防卫战中的“瘾君子”——后疫情时代在校大学生相对剥夺感与其社交网站成瘾问题的纵向研究</t>
  </si>
  <si>
    <t>大学与小学协同背景下乡村小学红色文化教育的路径研究—以嘉应学院党史小学堂项目为例</t>
  </si>
  <si>
    <t>合作才会赢：合作行为的心理机制 ——基于公平感的视角</t>
  </si>
  <si>
    <t>老龄化趋势视角下粤台两岸机构养老模式的差异研究</t>
  </si>
  <si>
    <t>尘封绿地-梅州城区水泥厂景观活力更新设计</t>
  </si>
  <si>
    <t>跨文化传播视域下中国传统音乐文化短视频的探索</t>
  </si>
  <si>
    <t>优势视角下留守儿童自我效能感提升的社会工作实务研究</t>
  </si>
  <si>
    <t>习近平优秀传统文化观视域下潮剧传承与创新的研究</t>
  </si>
  <si>
    <t>梅州“东亚文化之都”品牌视觉设计与开发</t>
  </si>
  <si>
    <t>基本公共服务均等化水平空间差异多尺度评价——以广州市为例</t>
  </si>
  <si>
    <t>大学生红色文化认同研究——以广东苏区为例</t>
  </si>
  <si>
    <t>梅州古驿道的红色星火</t>
  </si>
  <si>
    <t>点云数据在梅州南源世第修复中的应用</t>
  </si>
  <si>
    <t>叶剑英红色家风融入中小学课程思政的价值与路径</t>
  </si>
  <si>
    <t>“互联网+”时代下梅州苏区精神的传承与发扬——以叶剑英纪念馆为例</t>
  </si>
  <si>
    <t>新时代“互联网+”背景下网络公益课程对梅州苏区精神 的传播与发扬</t>
  </si>
  <si>
    <t>马克思理论的白话式之研究与教育改革</t>
  </si>
  <si>
    <t>人间烟火气，最扶凡人心-以嘉应学院江北校区西校门口外的流动商贩为例</t>
  </si>
  <si>
    <t>自然科学类</t>
  </si>
  <si>
    <t>PRMT5/LCLAT1介导脂代谢重编程促进喉癌发展的机制研究</t>
  </si>
  <si>
    <t>新型柚果多糖的结构特征及其干预溃疡性结肠炎的机制研究</t>
  </si>
  <si>
    <t>铜基金属有机笼的制备及其二氧化碳光催化还原研究</t>
  </si>
  <si>
    <t>TOP1/VEGF i-motif双靶点配体的设计、合成及抗肿瘤活性研究</t>
  </si>
  <si>
    <t>漫反射与透射光谱法检测花生中的黄曲霉毒素</t>
  </si>
  <si>
    <t>CpG-ODN与益生菌联合使用对鸡肠道健康的影响</t>
  </si>
  <si>
    <t>基于代谢组学和网络药理学探究柚果总黄酮干预急性酒精性肝炎的作用机制</t>
  </si>
  <si>
    <t>鲤形目鱼类全基因组复制后的Sox基因家族的扩张与演化</t>
  </si>
  <si>
    <t>超声波辅助反溶剂法制备双匀浆体系下的川陈皮素纳米粉及其活性表征</t>
  </si>
  <si>
    <t>海马区CaMKIIα-kalirin7-Rac1信号通路对甲基苯丙胺成瘾记忆的调控机制研究</t>
  </si>
  <si>
    <t>基于5G的智能网联汽车通信技术研究</t>
  </si>
  <si>
    <t>不同联合模型剖析农药不同浓度和不同毒性指标下的复合毒性：以新烟碱类杀虫剂为例</t>
  </si>
  <si>
    <t>低浓度胎牛血清蛋白快速光学检测方法研究</t>
  </si>
  <si>
    <t>新型镧系超高温抗氧化复合涂层的制备工艺与防护机理研究</t>
  </si>
  <si>
    <t>Pdx[S(R)]y团簇的制备及其催化炔烃半加氢反应的研究</t>
  </si>
  <si>
    <t>梅州清凉山水源林的群落调查和保育技术研究</t>
  </si>
  <si>
    <t>面向档案资料的超分辨率算法研究</t>
  </si>
  <si>
    <t>鸟巢形貌四氧化三钴的电荷调控及其电解水催化性能的研究</t>
  </si>
  <si>
    <t>白光LED用Sm3+/Bi3+共掺荧光体发光特性及能量传递研究</t>
  </si>
  <si>
    <t>基于多源遥感数据的梅县区水稻种植面积提取
及产量估算研究</t>
  </si>
  <si>
    <t>不同裂解温度下生物炭释放的溶解性有机质对典型南方农耕土壤的影响研究</t>
  </si>
  <si>
    <t>青稞HIPP基因家族的鉴定和表达分析</t>
  </si>
  <si>
    <t>基于蚯蚓养殖无害化、多增益处理鸡粪的探究</t>
  </si>
  <si>
    <t>廉价镍催化的单氟烯烃的合成</t>
  </si>
  <si>
    <t>MXene-FeNi复合材料的制备及其电解水析氢催化性能研究</t>
  </si>
  <si>
    <t>基于无透镜全息成像的梅州淡水藻类检测研究</t>
  </si>
  <si>
    <t>基于激光散斑的透明液体浓度定标及测量方法研究</t>
  </si>
  <si>
    <t>基于无透镜双波长测量溶液浓度</t>
  </si>
  <si>
    <t>双波长无透镜数字全息成像技术研究</t>
  </si>
  <si>
    <t>柚类南药套种—高效种植模式技术推广</t>
  </si>
  <si>
    <t>海水入侵问题预测和防治的高效数值算法研究</t>
  </si>
  <si>
    <t>几种胡椒科植物的提取液对扶桑绵粉蚧的毒力作用评价</t>
  </si>
  <si>
    <t>“小”实验培养“大”思维——自由落体实验中的误差分析</t>
  </si>
  <si>
    <t>石菖蒲提取液对扶桑绵粉蚧的生物活性研究</t>
  </si>
  <si>
    <t>沥青再生剂研发与性能测试</t>
  </si>
  <si>
    <t>科技发明制作类</t>
  </si>
  <si>
    <t>基于ResNet和AI图像识别的水果病虫害巡逻车</t>
  </si>
  <si>
    <t>V2X场景下基于信息融合的自动驾驶智能策略研究</t>
  </si>
  <si>
    <t>一种肝靶向半乳糖配体分子及其载药系统</t>
  </si>
  <si>
    <t>便携式光催化性能快速监测仪</t>
  </si>
  <si>
    <t>品质与健康导向的可食用膜研发与应用</t>
  </si>
  <si>
    <t>孪生柚园信息获取与呈现关键技术研究</t>
  </si>
  <si>
    <t>基于纳米单原子铜催化剂的在线苯酚类污水处理装置</t>
  </si>
  <si>
    <t>基于微传感器的足球训练装备及大数据分析系统</t>
  </si>
  <si>
    <t>基于图像识别的沃柑分类装箱机器</t>
  </si>
  <si>
    <t>基于无线传感网的老旧小区火险监防原型系统</t>
  </si>
  <si>
    <t>飞机刹车片抗氧化用陶瓷/磷酸盐复合涂层的实用化制备技术开发</t>
  </si>
  <si>
    <t>基于AI技术的防疫物资无人配送小车</t>
  </si>
  <si>
    <t>基于深度学习下厚皮水果糖度无损检测技术的研究</t>
  </si>
  <si>
    <t>基于NB-IoT的可视化智能节能之乡村振兴路灯系统</t>
  </si>
  <si>
    <t>隧道防灾减震装置（防震、防火和防渗漏装置）的研发</t>
  </si>
  <si>
    <t>基于深度学习的手术器械识别系统研究</t>
  </si>
  <si>
    <t>基于互联网的智能药箱</t>
  </si>
  <si>
    <t>基于云数据开发的智慧二书园系统</t>
  </si>
  <si>
    <t>客家语言资料库</t>
  </si>
  <si>
    <t>基于布尔注入系统的网络安全平台</t>
  </si>
  <si>
    <t>一种融积式3D打印机自适应喷嘴打印技术的研究</t>
  </si>
  <si>
    <t>微型循环农业体验模型设计与研究</t>
  </si>
  <si>
    <t>低温固体材料导热系数的测量装置</t>
  </si>
  <si>
    <t>基于大数据下的HR人才管理系统</t>
  </si>
  <si>
    <t>土木工程专业认证管理信息系统</t>
  </si>
  <si>
    <t>梅州市国土空间规划“双评价”Arcpy插件开发</t>
  </si>
  <si>
    <t>大数据招聘平台</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</si>
</sst>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4">
    <font>
      <sz val="11"/>
      <color theme="1"/>
      <name val="宋体"/>
      <charset val="134"/>
      <scheme val="minor"/>
    </font>
    <font>
      <b/>
      <sz val="22"/>
      <color theme="1"/>
      <name val="宋体"/>
      <charset val="134"/>
      <scheme val="minor"/>
    </font>
    <font>
      <b/>
      <sz val="14"/>
      <color theme="1"/>
      <name val="宋体"/>
      <charset val="134"/>
      <scheme val="minor"/>
    </font>
    <font>
      <sz val="11"/>
      <color rgb="FF000000"/>
      <name val="宋体"/>
      <charset val="134"/>
    </font>
    <font>
      <sz val="11"/>
      <color theme="1"/>
      <name val="宋体"/>
      <charset val="134"/>
    </font>
    <font>
      <sz val="11"/>
      <color rgb="FF9C0006"/>
      <name val="宋体"/>
      <charset val="0"/>
      <scheme val="minor"/>
    </font>
    <font>
      <b/>
      <sz val="11"/>
      <color theme="3"/>
      <name val="宋体"/>
      <charset val="134"/>
      <scheme val="minor"/>
    </font>
    <font>
      <u/>
      <sz val="11"/>
      <color rgb="FF0000FF"/>
      <name val="宋体"/>
      <charset val="0"/>
      <scheme val="minor"/>
    </font>
    <font>
      <sz val="11"/>
      <color theme="0"/>
      <name val="宋体"/>
      <charset val="0"/>
      <scheme val="minor"/>
    </font>
    <font>
      <sz val="11"/>
      <color theme="1"/>
      <name val="宋体"/>
      <charset val="0"/>
      <scheme val="minor"/>
    </font>
    <font>
      <sz val="11"/>
      <color rgb="FFFF0000"/>
      <name val="宋体"/>
      <charset val="0"/>
      <scheme val="minor"/>
    </font>
    <font>
      <u/>
      <sz val="11"/>
      <color rgb="FF800080"/>
      <name val="宋体"/>
      <charset val="0"/>
      <scheme val="minor"/>
    </font>
    <font>
      <b/>
      <sz val="11"/>
      <color theme="1"/>
      <name val="宋体"/>
      <charset val="0"/>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FA7D00"/>
      <name val="宋体"/>
      <charset val="0"/>
      <scheme val="minor"/>
    </font>
    <font>
      <sz val="11"/>
      <color rgb="FF006100"/>
      <name val="宋体"/>
      <charset val="0"/>
      <scheme val="minor"/>
    </font>
    <font>
      <b/>
      <sz val="11"/>
      <color rgb="FF3F3F3F"/>
      <name val="宋体"/>
      <charset val="0"/>
      <scheme val="minor"/>
    </font>
    <font>
      <sz val="11"/>
      <color rgb="FF3F3F76"/>
      <name val="宋体"/>
      <charset val="0"/>
      <scheme val="minor"/>
    </font>
    <font>
      <sz val="11"/>
      <color rgb="FF9C6500"/>
      <name val="宋体"/>
      <charset val="0"/>
      <scheme val="minor"/>
    </font>
    <font>
      <sz val="11"/>
      <color rgb="FFFA7D00"/>
      <name val="宋体"/>
      <charset val="0"/>
      <scheme val="minor"/>
    </font>
    <font>
      <b/>
      <sz val="18"/>
      <color theme="3"/>
      <name val="宋体"/>
      <charset val="134"/>
      <scheme val="minor"/>
    </font>
    <font>
      <b/>
      <sz val="11"/>
      <color rgb="FFFFFFFF"/>
      <name val="宋体"/>
      <charset val="0"/>
      <scheme val="minor"/>
    </font>
  </fonts>
  <fills count="33">
    <fill>
      <patternFill patternType="none"/>
    </fill>
    <fill>
      <patternFill patternType="gray125"/>
    </fill>
    <fill>
      <patternFill patternType="solid">
        <fgColor rgb="FFFFC7CE"/>
        <bgColor indexed="64"/>
      </patternFill>
    </fill>
    <fill>
      <patternFill patternType="solid">
        <fgColor theme="8"/>
        <bgColor indexed="64"/>
      </patternFill>
    </fill>
    <fill>
      <patternFill patternType="solid">
        <fgColor theme="9" tint="0.799981688894314"/>
        <bgColor indexed="64"/>
      </patternFill>
    </fill>
    <fill>
      <patternFill patternType="solid">
        <fgColor rgb="FFFFFFCC"/>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6"/>
        <bgColor indexed="64"/>
      </patternFill>
    </fill>
    <fill>
      <patternFill patternType="solid">
        <fgColor theme="8" tint="0.799981688894314"/>
        <bgColor indexed="64"/>
      </patternFill>
    </fill>
    <fill>
      <patternFill patternType="solid">
        <fgColor rgb="FFF2F2F2"/>
        <bgColor indexed="64"/>
      </patternFill>
    </fill>
    <fill>
      <patternFill patternType="solid">
        <fgColor rgb="FFC6EFCE"/>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rgb="FFFFCC9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rgb="FFFFEB9C"/>
        <bgColor indexed="64"/>
      </patternFill>
    </fill>
    <fill>
      <patternFill patternType="solid">
        <fgColor theme="4"/>
        <bgColor indexed="64"/>
      </patternFill>
    </fill>
    <fill>
      <patternFill patternType="solid">
        <fgColor theme="5"/>
        <bgColor indexed="64"/>
      </patternFill>
    </fill>
    <fill>
      <patternFill patternType="solid">
        <fgColor theme="7" tint="0.799981688894314"/>
        <bgColor indexed="64"/>
      </patternFill>
    </fill>
    <fill>
      <patternFill patternType="solid">
        <fgColor theme="9"/>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A5A5A5"/>
        <bgColor indexed="64"/>
      </patternFill>
    </fill>
    <fill>
      <patternFill patternType="solid">
        <fgColor theme="8" tint="0.599993896298105"/>
        <bgColor indexed="64"/>
      </patternFill>
    </fill>
    <fill>
      <patternFill patternType="solid">
        <fgColor theme="7"/>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pplyBorder="0">
      <alignment vertical="center"/>
    </xf>
    <xf numFmtId="0" fontId="8" fillId="32" borderId="0" applyNumberFormat="0" applyBorder="0" applyAlignment="0" applyProtection="0">
      <alignment vertical="center"/>
    </xf>
    <xf numFmtId="0" fontId="9" fillId="25" borderId="0" applyNumberFormat="0" applyBorder="0" applyAlignment="0" applyProtection="0">
      <alignment vertical="center"/>
    </xf>
    <xf numFmtId="0" fontId="8" fillId="31" borderId="0" applyNumberFormat="0" applyBorder="0" applyAlignment="0" applyProtection="0">
      <alignment vertical="center"/>
    </xf>
    <xf numFmtId="0" fontId="19" fillId="19" borderId="7" applyNumberFormat="0" applyAlignment="0" applyProtection="0">
      <alignment vertical="center"/>
    </xf>
    <xf numFmtId="0" fontId="9" fillId="20" borderId="0" applyNumberFormat="0" applyBorder="0" applyAlignment="0" applyProtection="0">
      <alignment vertical="center"/>
    </xf>
    <xf numFmtId="0" fontId="9" fillId="27" borderId="0" applyNumberFormat="0" applyBorder="0" applyAlignment="0" applyProtection="0">
      <alignment vertical="center"/>
    </xf>
    <xf numFmtId="44" fontId="0" fillId="0" borderId="0" applyFont="0" applyFill="0" applyBorder="0" applyAlignment="0" applyProtection="0">
      <alignment vertical="center"/>
    </xf>
    <xf numFmtId="0" fontId="8" fillId="11" borderId="0" applyNumberFormat="0" applyBorder="0" applyAlignment="0" applyProtection="0">
      <alignment vertical="center"/>
    </xf>
    <xf numFmtId="9" fontId="0" fillId="0" borderId="0" applyFont="0" applyFill="0" applyBorder="0" applyAlignment="0" applyProtection="0">
      <alignment vertical="center"/>
    </xf>
    <xf numFmtId="0" fontId="8" fillId="28" borderId="0" applyNumberFormat="0" applyBorder="0" applyAlignment="0" applyProtection="0">
      <alignment vertical="center"/>
    </xf>
    <xf numFmtId="0" fontId="8" fillId="21" borderId="0" applyNumberFormat="0" applyBorder="0" applyAlignment="0" applyProtection="0">
      <alignment vertical="center"/>
    </xf>
    <xf numFmtId="0" fontId="8" fillId="24" borderId="0" applyNumberFormat="0" applyBorder="0" applyAlignment="0" applyProtection="0">
      <alignment vertical="center"/>
    </xf>
    <xf numFmtId="0" fontId="8" fillId="18" borderId="0" applyNumberFormat="0" applyBorder="0" applyAlignment="0" applyProtection="0">
      <alignment vertical="center"/>
    </xf>
    <xf numFmtId="0" fontId="8" fillId="17" borderId="0" applyNumberFormat="0" applyBorder="0" applyAlignment="0" applyProtection="0">
      <alignment vertical="center"/>
    </xf>
    <xf numFmtId="0" fontId="16" fillId="13" borderId="7" applyNumberFormat="0" applyAlignment="0" applyProtection="0">
      <alignment vertical="center"/>
    </xf>
    <xf numFmtId="0" fontId="8" fillId="23" borderId="0" applyNumberFormat="0" applyBorder="0" applyAlignment="0" applyProtection="0">
      <alignment vertical="center"/>
    </xf>
    <xf numFmtId="0" fontId="20" fillId="22" borderId="0" applyNumberFormat="0" applyBorder="0" applyAlignment="0" applyProtection="0">
      <alignment vertical="center"/>
    </xf>
    <xf numFmtId="0" fontId="9" fillId="12" borderId="0" applyNumberFormat="0" applyBorder="0" applyAlignment="0" applyProtection="0">
      <alignment vertical="center"/>
    </xf>
    <xf numFmtId="0" fontId="17" fillId="14" borderId="0" applyNumberFormat="0" applyBorder="0" applyAlignment="0" applyProtection="0">
      <alignment vertical="center"/>
    </xf>
    <xf numFmtId="0" fontId="9" fillId="8" borderId="0" applyNumberFormat="0" applyBorder="0" applyAlignment="0" applyProtection="0">
      <alignment vertical="center"/>
    </xf>
    <xf numFmtId="0" fontId="12" fillId="0" borderId="5" applyNumberFormat="0" applyFill="0" applyAlignment="0" applyProtection="0">
      <alignment vertical="center"/>
    </xf>
    <xf numFmtId="0" fontId="5" fillId="2" borderId="0" applyNumberFormat="0" applyBorder="0" applyAlignment="0" applyProtection="0">
      <alignment vertical="center"/>
    </xf>
    <xf numFmtId="0" fontId="23" fillId="29" borderId="10" applyNumberFormat="0" applyAlignment="0" applyProtection="0">
      <alignment vertical="center"/>
    </xf>
    <xf numFmtId="0" fontId="18" fillId="13" borderId="8" applyNumberFormat="0" applyAlignment="0" applyProtection="0">
      <alignment vertical="center"/>
    </xf>
    <xf numFmtId="0" fontId="14" fillId="0" borderId="6" applyNumberFormat="0" applyFill="0" applyAlignment="0" applyProtection="0">
      <alignment vertical="center"/>
    </xf>
    <xf numFmtId="0" fontId="13" fillId="0" borderId="0" applyNumberFormat="0" applyFill="0" applyBorder="0" applyAlignment="0" applyProtection="0">
      <alignment vertical="center"/>
    </xf>
    <xf numFmtId="0" fontId="9" fillId="7" borderId="0" applyNumberFormat="0" applyBorder="0" applyAlignment="0" applyProtection="0">
      <alignment vertical="center"/>
    </xf>
    <xf numFmtId="0" fontId="6" fillId="0" borderId="0" applyNumberFormat="0" applyFill="0" applyBorder="0" applyAlignment="0" applyProtection="0">
      <alignment vertical="center"/>
    </xf>
    <xf numFmtId="42" fontId="0" fillId="0" borderId="0" applyFont="0" applyFill="0" applyBorder="0" applyAlignment="0" applyProtection="0">
      <alignment vertical="center"/>
    </xf>
    <xf numFmtId="0" fontId="9" fillId="10" borderId="0" applyNumberFormat="0" applyBorder="0" applyAlignment="0" applyProtection="0">
      <alignment vertical="center"/>
    </xf>
    <xf numFmtId="43"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9" fillId="6" borderId="0" applyNumberFormat="0" applyBorder="0" applyAlignment="0" applyProtection="0">
      <alignment vertical="center"/>
    </xf>
    <xf numFmtId="0" fontId="10" fillId="0" borderId="0" applyNumberFormat="0" applyFill="0" applyBorder="0" applyAlignment="0" applyProtection="0">
      <alignment vertical="center"/>
    </xf>
    <xf numFmtId="0" fontId="8" fillId="16" borderId="0" applyNumberFormat="0" applyBorder="0" applyAlignment="0" applyProtection="0">
      <alignment vertical="center"/>
    </xf>
    <xf numFmtId="0" fontId="0" fillId="5" borderId="4" applyNumberFormat="0" applyFont="0" applyAlignment="0" applyProtection="0">
      <alignment vertical="center"/>
    </xf>
    <xf numFmtId="0" fontId="9" fillId="4" borderId="0" applyNumberFormat="0" applyBorder="0" applyAlignment="0" applyProtection="0">
      <alignment vertical="center"/>
    </xf>
    <xf numFmtId="0" fontId="8" fillId="3" borderId="0" applyNumberFormat="0" applyBorder="0" applyAlignment="0" applyProtection="0">
      <alignment vertical="center"/>
    </xf>
    <xf numFmtId="0" fontId="9" fillId="15" borderId="0" applyNumberFormat="0" applyBorder="0" applyAlignment="0" applyProtection="0">
      <alignment vertical="center"/>
    </xf>
    <xf numFmtId="0" fontId="7" fillId="0" borderId="0" applyNumberFormat="0" applyFill="0" applyBorder="0" applyAlignment="0" applyProtection="0">
      <alignment vertical="center"/>
    </xf>
    <xf numFmtId="41" fontId="0" fillId="0" borderId="0" applyFont="0" applyFill="0" applyBorder="0" applyAlignment="0" applyProtection="0">
      <alignment vertical="center"/>
    </xf>
    <xf numFmtId="0" fontId="15" fillId="0" borderId="6" applyNumberFormat="0" applyFill="0" applyAlignment="0" applyProtection="0">
      <alignment vertical="center"/>
    </xf>
    <xf numFmtId="0" fontId="9" fillId="30" borderId="0" applyNumberFormat="0" applyBorder="0" applyAlignment="0" applyProtection="0">
      <alignment vertical="center"/>
    </xf>
    <xf numFmtId="0" fontId="6" fillId="0" borderId="3" applyNumberFormat="0" applyFill="0" applyAlignment="0" applyProtection="0">
      <alignment vertical="center"/>
    </xf>
    <xf numFmtId="0" fontId="8" fillId="26" borderId="0" applyNumberFormat="0" applyBorder="0" applyAlignment="0" applyProtection="0">
      <alignment vertical="center"/>
    </xf>
    <xf numFmtId="0" fontId="9" fillId="9" borderId="0" applyNumberFormat="0" applyBorder="0" applyAlignment="0" applyProtection="0">
      <alignment vertical="center"/>
    </xf>
    <xf numFmtId="0" fontId="21" fillId="0" borderId="9" applyNumberFormat="0" applyFill="0" applyAlignment="0" applyProtection="0">
      <alignment vertical="center"/>
    </xf>
  </cellStyleXfs>
  <cellXfs count="17">
    <xf numFmtId="0" fontId="0" fillId="0" borderId="0" xfId="0">
      <alignment vertical="center"/>
    </xf>
    <xf numFmtId="0" fontId="0" fillId="0" borderId="0" xfId="0" applyNumberFormat="1">
      <alignment vertical="center"/>
    </xf>
    <xf numFmtId="0" fontId="1" fillId="0" borderId="1" xfId="0" applyFont="1" applyBorder="1" applyAlignment="1">
      <alignment horizontal="centerContinuous" vertical="center"/>
    </xf>
    <xf numFmtId="0" fontId="1" fillId="0" borderId="1" xfId="0" applyNumberFormat="1" applyFont="1" applyBorder="1" applyAlignment="1">
      <alignment horizontal="centerContinuous" vertical="center"/>
    </xf>
    <xf numFmtId="0" fontId="2" fillId="0" borderId="1" xfId="0" applyFont="1" applyBorder="1" applyAlignment="1">
      <alignment horizontal="center" vertical="center"/>
    </xf>
    <xf numFmtId="0" fontId="2" fillId="0" borderId="1" xfId="0" applyNumberFormat="1" applyFont="1" applyBorder="1" applyAlignment="1">
      <alignment horizontal="center" vertical="center"/>
    </xf>
    <xf numFmtId="0" fontId="0" fillId="0" borderId="1" xfId="0" applyBorder="1" applyAlignment="1">
      <alignment horizontal="center" vertical="center"/>
    </xf>
    <xf numFmtId="0" fontId="0" fillId="0" borderId="1" xfId="0" applyFont="1" applyFill="1" applyBorder="1" applyAlignment="1">
      <alignment horizontal="center" vertical="center" wrapText="1"/>
    </xf>
    <xf numFmtId="0" fontId="0" fillId="0" borderId="1" xfId="0" applyNumberFormat="1" applyBorder="1" applyAlignment="1">
      <alignment horizontal="center" vertical="center"/>
    </xf>
    <xf numFmtId="0" fontId="0" fillId="0" borderId="1" xfId="0" applyBorder="1">
      <alignment vertical="center"/>
    </xf>
    <xf numFmtId="0" fontId="3" fillId="0" borderId="1" xfId="0" applyFont="1" applyFill="1" applyBorder="1" applyAlignment="1">
      <alignment horizontal="center" vertical="center" wrapText="1"/>
    </xf>
    <xf numFmtId="0" fontId="0" fillId="0" borderId="0" xfId="0" applyAlignment="1">
      <alignmen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4" fillId="0" borderId="1" xfId="0" applyFont="1" applyFill="1" applyBorder="1" applyAlignment="1">
      <alignment horizontal="center" vertical="center" wrapText="1"/>
    </xf>
    <xf numFmtId="0" fontId="0" fillId="0" borderId="1" xfId="0" applyFont="1" applyFill="1" applyBorder="1" applyAlignment="1">
      <alignment horizontal="center" vertical="top" wrapText="1"/>
    </xf>
    <xf numFmtId="0" fontId="0" fillId="0" borderId="2" xfId="0" applyBorder="1"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33"/>
  <sheetViews>
    <sheetView topLeftCell="A3" workbookViewId="0">
      <selection activeCell="G10" sqref="G10"/>
    </sheetView>
  </sheetViews>
  <sheetFormatPr defaultColWidth="9.90825688073394" defaultRowHeight="13.35" outlineLevelCol="4"/>
  <cols>
    <col min="2" max="2" width="62.1743119266055" customWidth="1"/>
    <col min="3" max="3" width="11.8899082568807" style="1" customWidth="1"/>
  </cols>
  <sheetData>
    <row r="1" ht="33.15" customHeight="1" spans="1:5">
      <c r="A1" s="2" t="s">
        <v>0</v>
      </c>
      <c r="B1" s="2"/>
      <c r="C1" s="3"/>
      <c r="D1" s="2"/>
      <c r="E1" s="2"/>
    </row>
    <row r="2" ht="34.55" customHeight="1" spans="1:5">
      <c r="A2" s="4" t="s">
        <v>1</v>
      </c>
      <c r="B2" s="12" t="s">
        <v>2</v>
      </c>
      <c r="C2" s="5" t="s">
        <v>3</v>
      </c>
      <c r="D2" s="13" t="s">
        <v>4</v>
      </c>
      <c r="E2" s="4" t="s">
        <v>5</v>
      </c>
    </row>
    <row r="3" ht="37.05" customHeight="1" spans="1:5">
      <c r="A3" s="14">
        <v>1</v>
      </c>
      <c r="B3" s="15" t="s">
        <v>6</v>
      </c>
      <c r="C3" s="8">
        <v>90.2</v>
      </c>
      <c r="D3" s="16">
        <f>RANK(C3,$C$3:$C$33,0)</f>
        <v>1</v>
      </c>
      <c r="E3" s="6" t="s">
        <v>7</v>
      </c>
    </row>
    <row r="4" ht="37.05" customHeight="1" spans="1:5">
      <c r="A4" s="14">
        <v>2</v>
      </c>
      <c r="B4" s="15" t="s">
        <v>8</v>
      </c>
      <c r="C4" s="8">
        <v>88.8</v>
      </c>
      <c r="D4" s="16">
        <f>RANK(C4,$C$3:$C$33,0)</f>
        <v>2</v>
      </c>
      <c r="E4" s="6" t="s">
        <v>9</v>
      </c>
    </row>
    <row r="5" ht="37.05" customHeight="1" spans="1:5">
      <c r="A5" s="14">
        <v>3</v>
      </c>
      <c r="B5" s="15" t="s">
        <v>10</v>
      </c>
      <c r="C5" s="8">
        <v>88</v>
      </c>
      <c r="D5" s="16">
        <f>RANK(C5,$C$3:$C$33,0)</f>
        <v>3</v>
      </c>
      <c r="E5" s="6" t="s">
        <v>9</v>
      </c>
    </row>
    <row r="6" ht="37.05" customHeight="1" spans="1:5">
      <c r="A6" s="14">
        <v>4</v>
      </c>
      <c r="B6" s="15" t="s">
        <v>11</v>
      </c>
      <c r="C6" s="8">
        <v>87.4</v>
      </c>
      <c r="D6" s="16">
        <f>RANK(C6,$C$3:$C$33,0)</f>
        <v>4</v>
      </c>
      <c r="E6" s="6" t="s">
        <v>9</v>
      </c>
    </row>
    <row r="7" ht="37.05" customHeight="1" spans="1:5">
      <c r="A7" s="14">
        <v>5</v>
      </c>
      <c r="B7" s="15" t="s">
        <v>12</v>
      </c>
      <c r="C7" s="8">
        <v>86.2</v>
      </c>
      <c r="D7" s="16">
        <f>RANK(C7,$C$3:$C$33,0)</f>
        <v>5</v>
      </c>
      <c r="E7" s="6" t="s">
        <v>13</v>
      </c>
    </row>
    <row r="8" ht="37.05" customHeight="1" spans="1:5">
      <c r="A8" s="14">
        <v>6</v>
      </c>
      <c r="B8" s="15" t="s">
        <v>14</v>
      </c>
      <c r="C8" s="8">
        <v>85.6</v>
      </c>
      <c r="D8" s="16">
        <f>RANK(C8,$C$3:$C$33,0)</f>
        <v>6</v>
      </c>
      <c r="E8" s="9"/>
    </row>
    <row r="9" ht="37.05" customHeight="1" spans="1:5">
      <c r="A9" s="14">
        <v>7</v>
      </c>
      <c r="B9" s="15" t="s">
        <v>15</v>
      </c>
      <c r="C9" s="8">
        <v>85.6</v>
      </c>
      <c r="D9" s="16">
        <f>RANK(C9,$C$3:$C$33,0)</f>
        <v>6</v>
      </c>
      <c r="E9" s="9"/>
    </row>
    <row r="10" ht="37.05" customHeight="1" spans="1:5">
      <c r="A10" s="14">
        <v>8</v>
      </c>
      <c r="B10" s="15" t="s">
        <v>16</v>
      </c>
      <c r="C10" s="8">
        <v>85.6</v>
      </c>
      <c r="D10" s="16">
        <f>RANK(C10,$C$3:$C$33,0)</f>
        <v>6</v>
      </c>
      <c r="E10" s="9"/>
    </row>
    <row r="11" ht="37.05" customHeight="1" spans="1:5">
      <c r="A11" s="14">
        <v>9</v>
      </c>
      <c r="B11" s="15" t="s">
        <v>17</v>
      </c>
      <c r="C11" s="8">
        <v>84</v>
      </c>
      <c r="D11" s="16">
        <f>RANK(C11,$C$3:$C$33,0)</f>
        <v>9</v>
      </c>
      <c r="E11" s="9"/>
    </row>
    <row r="12" ht="37.05" customHeight="1" spans="1:5">
      <c r="A12" s="14">
        <v>10</v>
      </c>
      <c r="B12" s="15" t="s">
        <v>18</v>
      </c>
      <c r="C12" s="8">
        <v>83</v>
      </c>
      <c r="D12" s="16">
        <f>RANK(C12,$C$3:$C$33,0)</f>
        <v>10</v>
      </c>
      <c r="E12" s="9"/>
    </row>
    <row r="13" ht="37.05" customHeight="1" spans="1:5">
      <c r="A13" s="14">
        <v>11</v>
      </c>
      <c r="B13" s="15" t="s">
        <v>19</v>
      </c>
      <c r="C13" s="8">
        <v>82.8</v>
      </c>
      <c r="D13" s="16">
        <f>RANK(C13,$C$3:$C$33,0)</f>
        <v>11</v>
      </c>
      <c r="E13" s="9"/>
    </row>
    <row r="14" ht="37.05" customHeight="1" spans="1:5">
      <c r="A14" s="14">
        <v>12</v>
      </c>
      <c r="B14" s="15" t="s">
        <v>20</v>
      </c>
      <c r="C14" s="8">
        <v>82.6</v>
      </c>
      <c r="D14" s="16">
        <f>RANK(C14,$C$3:$C$33,0)</f>
        <v>12</v>
      </c>
      <c r="E14" s="9"/>
    </row>
    <row r="15" ht="37.05" customHeight="1" spans="1:5">
      <c r="A15" s="14">
        <v>13</v>
      </c>
      <c r="B15" s="15" t="s">
        <v>21</v>
      </c>
      <c r="C15" s="8">
        <v>82</v>
      </c>
      <c r="D15" s="16">
        <f>RANK(C15,$C$3:$C$33,0)</f>
        <v>13</v>
      </c>
      <c r="E15" s="9"/>
    </row>
    <row r="16" ht="37.05" customHeight="1" spans="1:5">
      <c r="A16" s="14">
        <v>14</v>
      </c>
      <c r="B16" s="15" t="s">
        <v>22</v>
      </c>
      <c r="C16" s="8">
        <v>81.8</v>
      </c>
      <c r="D16" s="16">
        <f>RANK(C16,$C$3:$C$33,0)</f>
        <v>14</v>
      </c>
      <c r="E16" s="9"/>
    </row>
    <row r="17" ht="37.05" customHeight="1" spans="1:5">
      <c r="A17" s="14">
        <v>15</v>
      </c>
      <c r="B17" s="15" t="s">
        <v>23</v>
      </c>
      <c r="C17" s="8">
        <v>81.6</v>
      </c>
      <c r="D17" s="16">
        <f>RANK(C17,$C$3:$C$33,0)</f>
        <v>15</v>
      </c>
      <c r="E17" s="9"/>
    </row>
    <row r="18" ht="37.05" customHeight="1" spans="1:5">
      <c r="A18" s="14">
        <v>16</v>
      </c>
      <c r="B18" s="15" t="s">
        <v>24</v>
      </c>
      <c r="C18" s="8">
        <v>81.4</v>
      </c>
      <c r="D18" s="16">
        <f>RANK(C18,$C$3:$C$33,0)</f>
        <v>16</v>
      </c>
      <c r="E18" s="9"/>
    </row>
    <row r="19" ht="37.05" customHeight="1" spans="1:5">
      <c r="A19" s="14">
        <v>17</v>
      </c>
      <c r="B19" s="15" t="s">
        <v>25</v>
      </c>
      <c r="C19" s="8">
        <v>80.8</v>
      </c>
      <c r="D19" s="16">
        <f>RANK(C19,$C$3:$C$33,0)</f>
        <v>17</v>
      </c>
      <c r="E19" s="9"/>
    </row>
    <row r="20" ht="37.05" customHeight="1" spans="1:5">
      <c r="A20" s="14">
        <v>18</v>
      </c>
      <c r="B20" s="15" t="s">
        <v>26</v>
      </c>
      <c r="C20" s="8">
        <v>80.8</v>
      </c>
      <c r="D20" s="16">
        <f>RANK(C20,$C$3:$C$33,0)</f>
        <v>17</v>
      </c>
      <c r="E20" s="9"/>
    </row>
    <row r="21" ht="37.05" customHeight="1" spans="1:5">
      <c r="A21" s="14">
        <v>19</v>
      </c>
      <c r="B21" s="15" t="s">
        <v>27</v>
      </c>
      <c r="C21" s="8">
        <v>80.6</v>
      </c>
      <c r="D21" s="16">
        <f>RANK(C21,$C$3:$C$33,0)</f>
        <v>19</v>
      </c>
      <c r="E21" s="9"/>
    </row>
    <row r="22" ht="37.05" customHeight="1" spans="1:5">
      <c r="A22" s="14">
        <v>20</v>
      </c>
      <c r="B22" s="15" t="s">
        <v>28</v>
      </c>
      <c r="C22" s="8">
        <v>80.4</v>
      </c>
      <c r="D22" s="16">
        <f>RANK(C22,$C$3:$C$33,0)</f>
        <v>20</v>
      </c>
      <c r="E22" s="9"/>
    </row>
    <row r="23" ht="37.05" customHeight="1" spans="1:5">
      <c r="A23" s="14">
        <v>21</v>
      </c>
      <c r="B23" s="15" t="s">
        <v>29</v>
      </c>
      <c r="C23" s="8">
        <v>80</v>
      </c>
      <c r="D23" s="16">
        <f>RANK(C23,$C$3:$C$33,0)</f>
        <v>21</v>
      </c>
      <c r="E23" s="9"/>
    </row>
    <row r="24" ht="37.05" customHeight="1" spans="1:5">
      <c r="A24" s="14">
        <v>22</v>
      </c>
      <c r="B24" s="15" t="s">
        <v>30</v>
      </c>
      <c r="C24" s="8">
        <v>79.2</v>
      </c>
      <c r="D24" s="16">
        <f>RANK(C24,$C$3:$C$33,0)</f>
        <v>22</v>
      </c>
      <c r="E24" s="9"/>
    </row>
    <row r="25" ht="37.05" customHeight="1" spans="1:5">
      <c r="A25" s="14">
        <v>23</v>
      </c>
      <c r="B25" s="15" t="s">
        <v>31</v>
      </c>
      <c r="C25" s="8">
        <v>79.2</v>
      </c>
      <c r="D25" s="16">
        <f>RANK(C25,$C$3:$C$33,0)</f>
        <v>22</v>
      </c>
      <c r="E25" s="9"/>
    </row>
    <row r="26" ht="37.05" customHeight="1" spans="1:5">
      <c r="A26" s="14">
        <v>24</v>
      </c>
      <c r="B26" s="15" t="s">
        <v>32</v>
      </c>
      <c r="C26" s="8">
        <v>79</v>
      </c>
      <c r="D26" s="16">
        <f>RANK(C26,$C$3:$C$33,0)</f>
        <v>24</v>
      </c>
      <c r="E26" s="9"/>
    </row>
    <row r="27" ht="37.05" customHeight="1" spans="1:5">
      <c r="A27" s="14">
        <v>25</v>
      </c>
      <c r="B27" s="15" t="s">
        <v>33</v>
      </c>
      <c r="C27" s="8">
        <v>78.8</v>
      </c>
      <c r="D27" s="16">
        <f>RANK(C27,$C$3:$C$33,0)</f>
        <v>25</v>
      </c>
      <c r="E27" s="9"/>
    </row>
    <row r="28" ht="37.05" customHeight="1" spans="1:5">
      <c r="A28" s="14">
        <v>26</v>
      </c>
      <c r="B28" s="15" t="s">
        <v>34</v>
      </c>
      <c r="C28" s="8">
        <v>78.6</v>
      </c>
      <c r="D28" s="16">
        <f>RANK(C28,$C$3:$C$33,0)</f>
        <v>26</v>
      </c>
      <c r="E28" s="9"/>
    </row>
    <row r="29" ht="37.05" customHeight="1" spans="1:5">
      <c r="A29" s="14">
        <v>27</v>
      </c>
      <c r="B29" s="15" t="s">
        <v>35</v>
      </c>
      <c r="C29" s="8">
        <v>76.2</v>
      </c>
      <c r="D29" s="16">
        <f>RANK(C29,$C$3:$C$33,0)</f>
        <v>27</v>
      </c>
      <c r="E29" s="9"/>
    </row>
    <row r="30" ht="37.05" customHeight="1" spans="1:5">
      <c r="A30" s="14">
        <v>28</v>
      </c>
      <c r="B30" s="15" t="s">
        <v>36</v>
      </c>
      <c r="C30" s="8">
        <v>75</v>
      </c>
      <c r="D30" s="16">
        <f>RANK(C30,$C$3:$C$33,0)</f>
        <v>28</v>
      </c>
      <c r="E30" s="9"/>
    </row>
    <row r="31" ht="37.05" customHeight="1" spans="1:5">
      <c r="A31" s="14">
        <v>29</v>
      </c>
      <c r="B31" s="15" t="s">
        <v>37</v>
      </c>
      <c r="C31" s="8">
        <v>74</v>
      </c>
      <c r="D31" s="16">
        <f>RANK(C31,$C$3:$C$33,0)</f>
        <v>29</v>
      </c>
      <c r="E31" s="9"/>
    </row>
    <row r="32" ht="37.05" customHeight="1" spans="1:5">
      <c r="A32" s="14">
        <v>30</v>
      </c>
      <c r="B32" s="15" t="s">
        <v>38</v>
      </c>
      <c r="C32" s="8">
        <v>74</v>
      </c>
      <c r="D32" s="16">
        <f>RANK(C32,$C$3:$C$33,0)</f>
        <v>29</v>
      </c>
      <c r="E32" s="9"/>
    </row>
    <row r="33" ht="37.05" customHeight="1" spans="1:5">
      <c r="A33" s="14">
        <v>31</v>
      </c>
      <c r="B33" s="15" t="s">
        <v>39</v>
      </c>
      <c r="C33" s="8">
        <v>73.4</v>
      </c>
      <c r="D33" s="16">
        <f>RANK(C33,$C$3:$C$33,0)</f>
        <v>31</v>
      </c>
      <c r="E33" s="9"/>
    </row>
  </sheetData>
  <sortState ref="A2:D32">
    <sortCondition ref="C2" descending="1"/>
  </sortState>
  <mergeCells count="1">
    <mergeCell ref="A1:E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37"/>
  <sheetViews>
    <sheetView workbookViewId="0">
      <selection activeCell="C3" sqref="C3"/>
    </sheetView>
  </sheetViews>
  <sheetFormatPr defaultColWidth="9.90825688073394" defaultRowHeight="13.35" outlineLevelCol="5"/>
  <cols>
    <col min="2" max="2" width="57.1743119266055" customWidth="1"/>
    <col min="4" max="4" width="11.8899082568807" style="1" customWidth="1"/>
  </cols>
  <sheetData>
    <row r="1" ht="28.15" customHeight="1" spans="1:5">
      <c r="A1" s="2" t="s">
        <v>40</v>
      </c>
      <c r="B1" s="2"/>
      <c r="C1" s="2"/>
      <c r="D1" s="3"/>
      <c r="E1" s="2"/>
    </row>
    <row r="2" ht="31.3" customHeight="1" spans="1:5">
      <c r="A2" s="4" t="s">
        <v>1</v>
      </c>
      <c r="B2" s="4" t="s">
        <v>2</v>
      </c>
      <c r="C2" s="4" t="s">
        <v>4</v>
      </c>
      <c r="D2" s="5" t="s">
        <v>3</v>
      </c>
      <c r="E2" s="4" t="s">
        <v>5</v>
      </c>
    </row>
    <row r="3" ht="37.05" customHeight="1" spans="1:5">
      <c r="A3" s="6">
        <v>1</v>
      </c>
      <c r="B3" s="10" t="s">
        <v>41</v>
      </c>
      <c r="C3" s="6">
        <f>RANK(D3,$D$3:$D$37)</f>
        <v>1</v>
      </c>
      <c r="D3" s="8">
        <v>90.5</v>
      </c>
      <c r="E3" s="9" t="s">
        <v>9</v>
      </c>
    </row>
    <row r="4" ht="37.05" customHeight="1" spans="1:5">
      <c r="A4" s="6">
        <v>2</v>
      </c>
      <c r="B4" s="10" t="s">
        <v>42</v>
      </c>
      <c r="C4" s="6">
        <f>RANK(D4,$D$3:$D$37)</f>
        <v>2</v>
      </c>
      <c r="D4" s="8">
        <v>90.25</v>
      </c>
      <c r="E4" s="9" t="s">
        <v>9</v>
      </c>
    </row>
    <row r="5" ht="37.05" customHeight="1" spans="1:6">
      <c r="A5" s="6">
        <v>3</v>
      </c>
      <c r="B5" s="10" t="s">
        <v>43</v>
      </c>
      <c r="C5" s="6">
        <f>RANK(D5,$D$3:$D$37)</f>
        <v>3</v>
      </c>
      <c r="D5" s="8">
        <v>90</v>
      </c>
      <c r="E5" s="9" t="s">
        <v>13</v>
      </c>
      <c r="F5" s="11"/>
    </row>
    <row r="6" ht="37.05" customHeight="1" spans="1:5">
      <c r="A6" s="6">
        <v>4</v>
      </c>
      <c r="B6" s="10" t="s">
        <v>44</v>
      </c>
      <c r="C6" s="6">
        <f>RANK(D6,$D$3:$D$37)</f>
        <v>4</v>
      </c>
      <c r="D6" s="8">
        <v>88.75</v>
      </c>
      <c r="E6" s="9" t="s">
        <v>13</v>
      </c>
    </row>
    <row r="7" ht="37.05" customHeight="1" spans="1:5">
      <c r="A7" s="6">
        <v>5</v>
      </c>
      <c r="B7" s="10" t="s">
        <v>45</v>
      </c>
      <c r="C7" s="6">
        <f>RANK(D7,$D$3:$D$37)</f>
        <v>5</v>
      </c>
      <c r="D7" s="8">
        <v>88.5</v>
      </c>
      <c r="E7" s="9"/>
    </row>
    <row r="8" ht="37.05" customHeight="1" spans="1:5">
      <c r="A8" s="6">
        <v>6</v>
      </c>
      <c r="B8" s="10" t="s">
        <v>46</v>
      </c>
      <c r="C8" s="6">
        <f>RANK(D8,$D$3:$D$37)</f>
        <v>6</v>
      </c>
      <c r="D8" s="8">
        <v>88.25</v>
      </c>
      <c r="E8" s="9"/>
    </row>
    <row r="9" ht="37.05" customHeight="1" spans="1:5">
      <c r="A9" s="6">
        <v>7</v>
      </c>
      <c r="B9" s="10" t="s">
        <v>47</v>
      </c>
      <c r="C9" s="6">
        <f>RANK(D9,$D$3:$D$37)</f>
        <v>7</v>
      </c>
      <c r="D9" s="8">
        <v>88</v>
      </c>
      <c r="E9" s="9"/>
    </row>
    <row r="10" ht="37.05" customHeight="1" spans="1:5">
      <c r="A10" s="6">
        <v>8</v>
      </c>
      <c r="B10" s="10" t="s">
        <v>48</v>
      </c>
      <c r="C10" s="6">
        <f>RANK(D10,$D$3:$D$37)</f>
        <v>8</v>
      </c>
      <c r="D10" s="8">
        <v>87.75</v>
      </c>
      <c r="E10" s="9"/>
    </row>
    <row r="11" ht="37.05" customHeight="1" spans="1:5">
      <c r="A11" s="6">
        <v>9</v>
      </c>
      <c r="B11" s="10" t="s">
        <v>49</v>
      </c>
      <c r="C11" s="6">
        <f>RANK(D11,$D$3:$D$37)</f>
        <v>9</v>
      </c>
      <c r="D11" s="8">
        <v>87.5</v>
      </c>
      <c r="E11" s="9"/>
    </row>
    <row r="12" ht="37.05" customHeight="1" spans="1:5">
      <c r="A12" s="6">
        <v>10</v>
      </c>
      <c r="B12" s="10" t="s">
        <v>50</v>
      </c>
      <c r="C12" s="6">
        <f>RANK(D12,$D$3:$D$37)</f>
        <v>9</v>
      </c>
      <c r="D12" s="8">
        <v>87.5</v>
      </c>
      <c r="E12" s="9"/>
    </row>
    <row r="13" ht="37.05" customHeight="1" spans="1:5">
      <c r="A13" s="6">
        <v>11</v>
      </c>
      <c r="B13" s="10" t="s">
        <v>51</v>
      </c>
      <c r="C13" s="6">
        <f>RANK(D13,$D$3:$D$37)</f>
        <v>11</v>
      </c>
      <c r="D13" s="8">
        <v>87.25</v>
      </c>
      <c r="E13" s="9"/>
    </row>
    <row r="14" ht="37.05" customHeight="1" spans="1:5">
      <c r="A14" s="6">
        <v>12</v>
      </c>
      <c r="B14" s="10" t="s">
        <v>52</v>
      </c>
      <c r="C14" s="6">
        <f>RANK(D14,$D$3:$D$37)</f>
        <v>12</v>
      </c>
      <c r="D14" s="8">
        <v>86.75</v>
      </c>
      <c r="E14" s="9"/>
    </row>
    <row r="15" ht="37.05" customHeight="1" spans="1:5">
      <c r="A15" s="6">
        <v>13</v>
      </c>
      <c r="B15" s="10" t="s">
        <v>53</v>
      </c>
      <c r="C15" s="6">
        <f>RANK(D15,$D$3:$D$37)</f>
        <v>13</v>
      </c>
      <c r="D15" s="8">
        <v>86.5</v>
      </c>
      <c r="E15" s="9"/>
    </row>
    <row r="16" ht="37.05" customHeight="1" spans="1:5">
      <c r="A16" s="6">
        <v>14</v>
      </c>
      <c r="B16" s="10" t="s">
        <v>54</v>
      </c>
      <c r="C16" s="6">
        <f>RANK(D16,$D$3:$D$37)</f>
        <v>14</v>
      </c>
      <c r="D16" s="8">
        <v>86.25</v>
      </c>
      <c r="E16" s="9"/>
    </row>
    <row r="17" ht="37.05" customHeight="1" spans="1:5">
      <c r="A17" s="6">
        <v>15</v>
      </c>
      <c r="B17" s="10" t="s">
        <v>55</v>
      </c>
      <c r="C17" s="6">
        <f>RANK(D17,$D$3:$D$37)</f>
        <v>15</v>
      </c>
      <c r="D17" s="8">
        <v>86</v>
      </c>
      <c r="E17" s="9"/>
    </row>
    <row r="18" ht="37.05" customHeight="1" spans="1:5">
      <c r="A18" s="6">
        <v>16</v>
      </c>
      <c r="B18" s="10" t="s">
        <v>56</v>
      </c>
      <c r="C18" s="6">
        <f>RANK(D18,$D$3:$D$37)</f>
        <v>15</v>
      </c>
      <c r="D18" s="8">
        <v>86</v>
      </c>
      <c r="E18" s="9"/>
    </row>
    <row r="19" ht="37.05" customHeight="1" spans="1:5">
      <c r="A19" s="6">
        <v>17</v>
      </c>
      <c r="B19" s="10" t="s">
        <v>57</v>
      </c>
      <c r="C19" s="6">
        <f>RANK(D19,$D$3:$D$37)</f>
        <v>15</v>
      </c>
      <c r="D19" s="8">
        <v>86</v>
      </c>
      <c r="E19" s="9"/>
    </row>
    <row r="20" ht="37.05" customHeight="1" spans="1:5">
      <c r="A20" s="6">
        <v>18</v>
      </c>
      <c r="B20" s="10" t="s">
        <v>58</v>
      </c>
      <c r="C20" s="6">
        <f>RANK(D20,$D$3:$D$37)</f>
        <v>18</v>
      </c>
      <c r="D20" s="8">
        <v>85.5</v>
      </c>
      <c r="E20" s="9"/>
    </row>
    <row r="21" ht="37.05" customHeight="1" spans="1:5">
      <c r="A21" s="6">
        <v>19</v>
      </c>
      <c r="B21" s="10" t="s">
        <v>59</v>
      </c>
      <c r="C21" s="6">
        <f>RANK(D21,$D$3:$D$37)</f>
        <v>19</v>
      </c>
      <c r="D21" s="8">
        <v>85.25</v>
      </c>
      <c r="E21" s="9"/>
    </row>
    <row r="22" ht="37.05" customHeight="1" spans="1:5">
      <c r="A22" s="6">
        <v>20</v>
      </c>
      <c r="B22" s="10" t="s">
        <v>60</v>
      </c>
      <c r="C22" s="6">
        <f>RANK(D22,$D$3:$D$37)</f>
        <v>19</v>
      </c>
      <c r="D22" s="8">
        <v>85.25</v>
      </c>
      <c r="E22" s="9"/>
    </row>
    <row r="23" ht="37.05" customHeight="1" spans="1:5">
      <c r="A23" s="6">
        <v>21</v>
      </c>
      <c r="B23" s="10" t="s">
        <v>61</v>
      </c>
      <c r="C23" s="6">
        <f>RANK(D23,$D$3:$D$37)</f>
        <v>21</v>
      </c>
      <c r="D23" s="8">
        <v>84.75</v>
      </c>
      <c r="E23" s="9"/>
    </row>
    <row r="24" ht="37.05" customHeight="1" spans="1:5">
      <c r="A24" s="6">
        <v>22</v>
      </c>
      <c r="B24" s="10" t="s">
        <v>62</v>
      </c>
      <c r="C24" s="6">
        <f>RANK(D24,$D$3:$D$37)</f>
        <v>21</v>
      </c>
      <c r="D24" s="8">
        <v>84.75</v>
      </c>
      <c r="E24" s="9"/>
    </row>
    <row r="25" ht="37.05" customHeight="1" spans="1:5">
      <c r="A25" s="6">
        <v>23</v>
      </c>
      <c r="B25" s="10" t="s">
        <v>63</v>
      </c>
      <c r="C25" s="6">
        <f>RANK(D25,$D$3:$D$37)</f>
        <v>23</v>
      </c>
      <c r="D25" s="8">
        <v>84.5</v>
      </c>
      <c r="E25" s="9"/>
    </row>
    <row r="26" ht="37.05" customHeight="1" spans="1:5">
      <c r="A26" s="6">
        <v>24</v>
      </c>
      <c r="B26" s="10" t="s">
        <v>64</v>
      </c>
      <c r="C26" s="6">
        <f>RANK(D26,$D$3:$D$37)</f>
        <v>23</v>
      </c>
      <c r="D26" s="8">
        <v>84.5</v>
      </c>
      <c r="E26" s="9"/>
    </row>
    <row r="27" ht="37.05" customHeight="1" spans="1:5">
      <c r="A27" s="6">
        <v>25</v>
      </c>
      <c r="B27" s="10" t="s">
        <v>65</v>
      </c>
      <c r="C27" s="6">
        <f>RANK(D27,$D$3:$D$37)</f>
        <v>25</v>
      </c>
      <c r="D27" s="8">
        <v>84</v>
      </c>
      <c r="E27" s="9"/>
    </row>
    <row r="28" ht="37.05" customHeight="1" spans="1:5">
      <c r="A28" s="6">
        <v>26</v>
      </c>
      <c r="B28" s="10" t="s">
        <v>66</v>
      </c>
      <c r="C28" s="6">
        <f>RANK(D28,$D$3:$D$37)</f>
        <v>25</v>
      </c>
      <c r="D28" s="8">
        <v>84</v>
      </c>
      <c r="E28" s="9"/>
    </row>
    <row r="29" ht="37.05" customHeight="1" spans="1:5">
      <c r="A29" s="6">
        <v>27</v>
      </c>
      <c r="B29" s="10" t="s">
        <v>67</v>
      </c>
      <c r="C29" s="6">
        <f>RANK(D29,$D$3:$D$37)</f>
        <v>27</v>
      </c>
      <c r="D29" s="8">
        <v>83.75</v>
      </c>
      <c r="E29" s="9"/>
    </row>
    <row r="30" ht="37.05" customHeight="1" spans="1:5">
      <c r="A30" s="6">
        <v>28</v>
      </c>
      <c r="B30" s="10" t="s">
        <v>68</v>
      </c>
      <c r="C30" s="6">
        <f>RANK(D30,$D$3:$D$37)</f>
        <v>28</v>
      </c>
      <c r="D30" s="8">
        <v>83.25</v>
      </c>
      <c r="E30" s="9"/>
    </row>
    <row r="31" ht="37.05" customHeight="1" spans="1:5">
      <c r="A31" s="6">
        <v>29</v>
      </c>
      <c r="B31" s="10" t="s">
        <v>69</v>
      </c>
      <c r="C31" s="6">
        <f>RANK(D31,$D$3:$D$37)</f>
        <v>29</v>
      </c>
      <c r="D31" s="8">
        <v>82.5</v>
      </c>
      <c r="E31" s="9"/>
    </row>
    <row r="32" ht="37.05" customHeight="1" spans="1:5">
      <c r="A32" s="6">
        <v>30</v>
      </c>
      <c r="B32" s="10" t="s">
        <v>70</v>
      </c>
      <c r="C32" s="6">
        <f>RANK(D32,$D$3:$D$37)</f>
        <v>30</v>
      </c>
      <c r="D32" s="8">
        <v>82.25</v>
      </c>
      <c r="E32" s="9"/>
    </row>
    <row r="33" ht="37.05" customHeight="1" spans="1:5">
      <c r="A33" s="6">
        <v>31</v>
      </c>
      <c r="B33" s="10" t="s">
        <v>71</v>
      </c>
      <c r="C33" s="6">
        <f>RANK(D33,$D$3:$D$37)</f>
        <v>31</v>
      </c>
      <c r="D33" s="8">
        <v>82</v>
      </c>
      <c r="E33" s="9"/>
    </row>
    <row r="34" ht="37.05" customHeight="1" spans="1:5">
      <c r="A34" s="6">
        <v>32</v>
      </c>
      <c r="B34" s="10" t="s">
        <v>72</v>
      </c>
      <c r="C34" s="6">
        <f>RANK(D34,$D$3:$D$37)</f>
        <v>32</v>
      </c>
      <c r="D34" s="8">
        <v>81.75</v>
      </c>
      <c r="E34" s="9"/>
    </row>
    <row r="35" ht="37.05" customHeight="1" spans="1:5">
      <c r="A35" s="6">
        <v>33</v>
      </c>
      <c r="B35" s="10" t="s">
        <v>73</v>
      </c>
      <c r="C35" s="6">
        <f>RANK(D35,$D$3:$D$37)</f>
        <v>33</v>
      </c>
      <c r="D35" s="8">
        <v>81</v>
      </c>
      <c r="E35" s="9"/>
    </row>
    <row r="36" ht="37.05" customHeight="1" spans="1:5">
      <c r="A36" s="6">
        <v>34</v>
      </c>
      <c r="B36" s="10" t="s">
        <v>74</v>
      </c>
      <c r="C36" s="6">
        <f>RANK(D36,$D$3:$D$37)</f>
        <v>33</v>
      </c>
      <c r="D36" s="8">
        <v>81</v>
      </c>
      <c r="E36" s="9"/>
    </row>
    <row r="37" ht="37.05" customHeight="1" spans="1:5">
      <c r="A37" s="6">
        <v>35</v>
      </c>
      <c r="B37" s="10" t="s">
        <v>75</v>
      </c>
      <c r="C37" s="6">
        <f>RANK(D37,$D$3:$D$37)</f>
        <v>35</v>
      </c>
      <c r="D37" s="8">
        <v>79.5</v>
      </c>
      <c r="E37" s="9"/>
    </row>
  </sheetData>
  <sortState ref="A2:D36">
    <sortCondition ref="C2:C36"/>
  </sortState>
  <mergeCells count="1">
    <mergeCell ref="A1:E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H29"/>
  <sheetViews>
    <sheetView tabSelected="1" workbookViewId="0">
      <selection activeCell="G6" sqref="G6"/>
    </sheetView>
  </sheetViews>
  <sheetFormatPr defaultColWidth="9.90825688073394" defaultRowHeight="13.35" outlineLevelCol="7"/>
  <cols>
    <col min="2" max="2" width="47.7798165137615" customWidth="1"/>
    <col min="4" max="4" width="11.8899082568807" style="1" customWidth="1"/>
  </cols>
  <sheetData>
    <row r="1" ht="28.15" customHeight="1" spans="1:5">
      <c r="A1" s="2" t="s">
        <v>76</v>
      </c>
      <c r="B1" s="2"/>
      <c r="C1" s="2"/>
      <c r="D1" s="3"/>
      <c r="E1" s="2"/>
    </row>
    <row r="2" ht="27.25" customHeight="1" spans="1:5">
      <c r="A2" s="4" t="s">
        <v>1</v>
      </c>
      <c r="B2" s="4" t="s">
        <v>2</v>
      </c>
      <c r="C2" s="4" t="s">
        <v>4</v>
      </c>
      <c r="D2" s="5" t="s">
        <v>3</v>
      </c>
      <c r="E2" s="4" t="s">
        <v>5</v>
      </c>
    </row>
    <row r="3" ht="37.05" customHeight="1" spans="1:8">
      <c r="A3" s="6">
        <v>1</v>
      </c>
      <c r="B3" s="7" t="s">
        <v>77</v>
      </c>
      <c r="C3" s="6">
        <f>RANK(D3,$D$3:$D$29)</f>
        <v>1</v>
      </c>
      <c r="D3" s="8">
        <v>90.2</v>
      </c>
      <c r="E3" s="6" t="s">
        <v>7</v>
      </c>
      <c r="H3" s="1"/>
    </row>
    <row r="4" ht="37.05" customHeight="1" spans="1:5">
      <c r="A4" s="6">
        <v>2</v>
      </c>
      <c r="B4" s="7" t="s">
        <v>78</v>
      </c>
      <c r="C4" s="6">
        <f>RANK(D4,$D$3:$D$29)</f>
        <v>2</v>
      </c>
      <c r="D4" s="8">
        <v>88.8</v>
      </c>
      <c r="E4" s="6" t="s">
        <v>9</v>
      </c>
    </row>
    <row r="5" ht="37.05" customHeight="1" spans="1:5">
      <c r="A5" s="6">
        <v>3</v>
      </c>
      <c r="B5" s="7" t="s">
        <v>79</v>
      </c>
      <c r="C5" s="6">
        <f>RANK(D5,$D$3:$D$29)</f>
        <v>2</v>
      </c>
      <c r="D5" s="8">
        <v>88.8</v>
      </c>
      <c r="E5" s="6" t="s">
        <v>9</v>
      </c>
    </row>
    <row r="6" ht="37.05" customHeight="1" spans="1:5">
      <c r="A6" s="6">
        <v>4</v>
      </c>
      <c r="B6" s="7" t="s">
        <v>80</v>
      </c>
      <c r="C6" s="6">
        <f>RANK(D6,$D$3:$D$29)</f>
        <v>4</v>
      </c>
      <c r="D6" s="8">
        <v>88</v>
      </c>
      <c r="E6" s="6" t="s">
        <v>9</v>
      </c>
    </row>
    <row r="7" ht="37.05" customHeight="1" spans="1:5">
      <c r="A7" s="6">
        <v>5</v>
      </c>
      <c r="B7" s="7" t="s">
        <v>81</v>
      </c>
      <c r="C7" s="6">
        <f>RANK(D7,$D$3:$D$29)</f>
        <v>5</v>
      </c>
      <c r="D7" s="8">
        <v>87.9</v>
      </c>
      <c r="E7" s="6" t="s">
        <v>13</v>
      </c>
    </row>
    <row r="8" ht="37.05" customHeight="1" spans="1:5">
      <c r="A8" s="6">
        <v>6</v>
      </c>
      <c r="B8" s="7" t="s">
        <v>82</v>
      </c>
      <c r="C8" s="6">
        <f>RANK(D8,$D$3:$D$29)</f>
        <v>6</v>
      </c>
      <c r="D8" s="8">
        <v>87.6</v>
      </c>
      <c r="E8" s="9"/>
    </row>
    <row r="9" ht="37.05" customHeight="1" spans="1:5">
      <c r="A9" s="6">
        <v>7</v>
      </c>
      <c r="B9" s="7" t="s">
        <v>83</v>
      </c>
      <c r="C9" s="6">
        <f>RANK(D9,$D$3:$D$29)</f>
        <v>7</v>
      </c>
      <c r="D9" s="8">
        <v>86.8</v>
      </c>
      <c r="E9" s="9"/>
    </row>
    <row r="10" ht="37.05" customHeight="1" spans="1:5">
      <c r="A10" s="6">
        <v>8</v>
      </c>
      <c r="B10" s="7" t="s">
        <v>84</v>
      </c>
      <c r="C10" s="6">
        <f>RANK(D10,$D$3:$D$29)</f>
        <v>8</v>
      </c>
      <c r="D10" s="8">
        <v>86.6</v>
      </c>
      <c r="E10" s="9"/>
    </row>
    <row r="11" ht="37.05" customHeight="1" spans="1:5">
      <c r="A11" s="6">
        <v>9</v>
      </c>
      <c r="B11" s="7" t="s">
        <v>85</v>
      </c>
      <c r="C11" s="6">
        <f>RANK(D11,$D$3:$D$29)</f>
        <v>9</v>
      </c>
      <c r="D11" s="8">
        <v>86.4</v>
      </c>
      <c r="E11" s="9"/>
    </row>
    <row r="12" ht="37.05" customHeight="1" spans="1:5">
      <c r="A12" s="6">
        <v>10</v>
      </c>
      <c r="B12" s="7" t="s">
        <v>86</v>
      </c>
      <c r="C12" s="6">
        <f>RANK(D12,$D$3:$D$29)</f>
        <v>10</v>
      </c>
      <c r="D12" s="8">
        <v>86.2</v>
      </c>
      <c r="E12" s="9"/>
    </row>
    <row r="13" ht="37.05" customHeight="1" spans="1:5">
      <c r="A13" s="6">
        <v>11</v>
      </c>
      <c r="B13" s="7" t="s">
        <v>87</v>
      </c>
      <c r="C13" s="6">
        <f>RANK(D13,$D$3:$D$29)</f>
        <v>11</v>
      </c>
      <c r="D13" s="8">
        <v>86</v>
      </c>
      <c r="E13" s="9"/>
    </row>
    <row r="14" ht="37.05" customHeight="1" spans="1:5">
      <c r="A14" s="6">
        <v>12</v>
      </c>
      <c r="B14" s="7" t="s">
        <v>88</v>
      </c>
      <c r="C14" s="6">
        <f>RANK(D14,$D$3:$D$29)</f>
        <v>12</v>
      </c>
      <c r="D14" s="8">
        <v>85.9</v>
      </c>
      <c r="E14" s="9"/>
    </row>
    <row r="15" ht="37.05" customHeight="1" spans="1:5">
      <c r="A15" s="6">
        <v>13</v>
      </c>
      <c r="B15" s="7" t="s">
        <v>89</v>
      </c>
      <c r="C15" s="6">
        <f>RANK(D15,$D$3:$D$29)</f>
        <v>12</v>
      </c>
      <c r="D15" s="8">
        <v>85.9</v>
      </c>
      <c r="E15" s="9"/>
    </row>
    <row r="16" ht="37.05" customHeight="1" spans="1:5">
      <c r="A16" s="6">
        <v>14</v>
      </c>
      <c r="B16" s="7" t="s">
        <v>90</v>
      </c>
      <c r="C16" s="6">
        <f>RANK(D16,$D$3:$D$29)</f>
        <v>14</v>
      </c>
      <c r="D16" s="8">
        <v>84.8</v>
      </c>
      <c r="E16" s="9"/>
    </row>
    <row r="17" ht="37.05" customHeight="1" spans="1:5">
      <c r="A17" s="6">
        <v>15</v>
      </c>
      <c r="B17" s="7" t="s">
        <v>91</v>
      </c>
      <c r="C17" s="6">
        <f>RANK(D17,$D$3:$D$29)</f>
        <v>15</v>
      </c>
      <c r="D17" s="8">
        <v>84.7</v>
      </c>
      <c r="E17" s="9"/>
    </row>
    <row r="18" ht="37.05" customHeight="1" spans="1:5">
      <c r="A18" s="6">
        <v>16</v>
      </c>
      <c r="B18" s="7" t="s">
        <v>92</v>
      </c>
      <c r="C18" s="6">
        <f>RANK(D18,$D$3:$D$29)</f>
        <v>16</v>
      </c>
      <c r="D18" s="8">
        <v>84.6</v>
      </c>
      <c r="E18" s="9"/>
    </row>
    <row r="19" ht="37.05" customHeight="1" spans="1:5">
      <c r="A19" s="6">
        <v>17</v>
      </c>
      <c r="B19" s="7" t="s">
        <v>93</v>
      </c>
      <c r="C19" s="6">
        <f>RANK(D19,$D$3:$D$29)</f>
        <v>17</v>
      </c>
      <c r="D19" s="8">
        <v>84.2</v>
      </c>
      <c r="E19" s="9"/>
    </row>
    <row r="20" ht="37.05" customHeight="1" spans="1:5">
      <c r="A20" s="6">
        <v>18</v>
      </c>
      <c r="B20" s="7" t="s">
        <v>94</v>
      </c>
      <c r="C20" s="6">
        <f>RANK(D20,$D$3:$D$29)</f>
        <v>18</v>
      </c>
      <c r="D20" s="8">
        <v>83.8</v>
      </c>
      <c r="E20" s="9"/>
    </row>
    <row r="21" ht="37.05" customHeight="1" spans="1:5">
      <c r="A21" s="6">
        <v>19</v>
      </c>
      <c r="B21" s="7" t="s">
        <v>95</v>
      </c>
      <c r="C21" s="6">
        <f>RANK(D21,$D$3:$D$29)</f>
        <v>19</v>
      </c>
      <c r="D21" s="8">
        <v>83.7</v>
      </c>
      <c r="E21" s="9"/>
    </row>
    <row r="22" ht="37.05" customHeight="1" spans="1:5">
      <c r="A22" s="6">
        <v>20</v>
      </c>
      <c r="B22" s="7" t="s">
        <v>96</v>
      </c>
      <c r="C22" s="6">
        <f>RANK(D22,$D$3:$D$29)</f>
        <v>20</v>
      </c>
      <c r="D22" s="8">
        <v>82.6</v>
      </c>
      <c r="E22" s="9"/>
    </row>
    <row r="23" ht="37.05" customHeight="1" spans="1:5">
      <c r="A23" s="6">
        <v>21</v>
      </c>
      <c r="B23" s="7" t="s">
        <v>97</v>
      </c>
      <c r="C23" s="6">
        <f>RANK(D23,$D$3:$D$29)</f>
        <v>21</v>
      </c>
      <c r="D23" s="8">
        <v>82.4</v>
      </c>
      <c r="E23" s="9"/>
    </row>
    <row r="24" ht="37.05" customHeight="1" spans="1:5">
      <c r="A24" s="6">
        <v>22</v>
      </c>
      <c r="B24" s="7" t="s">
        <v>98</v>
      </c>
      <c r="C24" s="6">
        <f>RANK(D24,$D$3:$D$29)</f>
        <v>22</v>
      </c>
      <c r="D24" s="8">
        <v>81.4</v>
      </c>
      <c r="E24" s="9"/>
    </row>
    <row r="25" ht="37.05" customHeight="1" spans="1:5">
      <c r="A25" s="6">
        <v>23</v>
      </c>
      <c r="B25" s="7" t="s">
        <v>99</v>
      </c>
      <c r="C25" s="6">
        <f>RANK(D25,$D$3:$D$29)</f>
        <v>23</v>
      </c>
      <c r="D25" s="8">
        <v>81</v>
      </c>
      <c r="E25" s="9"/>
    </row>
    <row r="26" ht="37.05" customHeight="1" spans="1:5">
      <c r="A26" s="6">
        <v>24</v>
      </c>
      <c r="B26" s="7" t="s">
        <v>100</v>
      </c>
      <c r="C26" s="6">
        <f>RANK(D26,$D$3:$D$29)</f>
        <v>24</v>
      </c>
      <c r="D26" s="8">
        <v>80.5</v>
      </c>
      <c r="E26" s="9"/>
    </row>
    <row r="27" ht="37.05" customHeight="1" spans="1:5">
      <c r="A27" s="6">
        <v>25</v>
      </c>
      <c r="B27" s="7" t="s">
        <v>101</v>
      </c>
      <c r="C27" s="6">
        <f>RANK(D27,$D$3:$D$29)</f>
        <v>25</v>
      </c>
      <c r="D27" s="8">
        <v>80.2</v>
      </c>
      <c r="E27" s="9"/>
    </row>
    <row r="28" ht="37.05" customHeight="1" spans="1:5">
      <c r="A28" s="6">
        <v>26</v>
      </c>
      <c r="B28" s="7" t="s">
        <v>102</v>
      </c>
      <c r="C28" s="6">
        <f>RANK(D28,$D$3:$D$29)</f>
        <v>26</v>
      </c>
      <c r="D28" s="8">
        <v>79.8</v>
      </c>
      <c r="E28" s="9"/>
    </row>
    <row r="29" ht="37.05" customHeight="1" spans="1:5">
      <c r="A29" s="6">
        <v>27</v>
      </c>
      <c r="B29" s="7" t="s">
        <v>103</v>
      </c>
      <c r="C29" s="6">
        <f>RANK(D29,$D$3:$D$29)</f>
        <v>27</v>
      </c>
      <c r="D29" s="8">
        <v>79.2</v>
      </c>
      <c r="E29" s="9"/>
    </row>
  </sheetData>
  <sortState ref="B2:D28">
    <sortCondition ref="C2:C28"/>
  </sortState>
  <mergeCells count="1">
    <mergeCell ref="A1:E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哲学社会科学类</vt:lpstr>
      <vt:lpstr>自然科学类</vt:lpstr>
      <vt:lpstr>科技发明制作类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123</dc:creator>
  <cp:lastModifiedBy>iPad (3)</cp:lastModifiedBy>
  <dcterms:created xsi:type="dcterms:W3CDTF">2022-08-18T13:32:00Z</dcterms:created>
  <dcterms:modified xsi:type="dcterms:W3CDTF">2022-08-19T05:37:36Z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E77D3444C4AD461CB66447158F5F7406</vt:lpwstr>
  </property>
  <property fmtid="{D5CDD505-2E9C-101B-9397-08002B2CF9AE}" pid="3" name="KSOProductBuildVer">
    <vt:lpwstr>2052-11.14.0</vt:lpwstr>
  </property>
</Properties>
</file>